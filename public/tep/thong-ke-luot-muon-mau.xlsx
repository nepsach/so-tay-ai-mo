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ke" sheetId="1" state="visible" r:id="rId1"/>
    <sheet xmlns:r="http://schemas.openxmlformats.org/officeDocument/2006/relationships" name="Muon 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5E1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t="inlineStr">
        <is>
          <t>Tháng cần thống kê (gõ ngày đầu tháng):</t>
        </is>
      </c>
      <c r="B1" s="1" t="n">
        <v>46296</v>
      </c>
    </row>
    <row r="3">
      <c r="A3" s="2" t="inlineStr">
        <is>
          <t>Lớp</t>
        </is>
      </c>
      <c r="B3" s="2" t="inlineStr">
        <is>
          <t>Lượt mượn trong tháng</t>
        </is>
      </c>
      <c r="C3" s="2" t="inlineStr">
        <is>
          <t>Sách chưa trả (cả năm)</t>
        </is>
      </c>
    </row>
    <row r="4">
      <c r="A4" t="inlineStr">
        <is>
          <t>3A</t>
        </is>
      </c>
      <c r="B4">
        <f>COUNTIFS('Muon tra'!$B:$B,A4,'Muon tra'!$A:$A,"&gt;="&amp;$B$1,'Muon tra'!$A:$A,"&lt;"&amp;EDATE($B$1,1))</f>
        <v/>
      </c>
      <c r="C4">
        <f>COUNTIFS('Muon tra'!$B:$B,A4,'Muon tra'!$A:$A,"&lt;&gt;",'Muon tra'!$E:$E,"")</f>
        <v/>
      </c>
    </row>
    <row r="5">
      <c r="A5" t="inlineStr">
        <is>
          <t>3B</t>
        </is>
      </c>
      <c r="B5">
        <f>COUNTIFS('Muon tra'!$B:$B,A5,'Muon tra'!$A:$A,"&gt;="&amp;$B$1,'Muon tra'!$A:$A,"&lt;"&amp;EDATE($B$1,1))</f>
        <v/>
      </c>
      <c r="C5">
        <f>COUNTIFS('Muon tra'!$B:$B,A5,'Muon tra'!$A:$A,"&lt;&gt;",'Muon tra'!$E:$E,"")</f>
        <v/>
      </c>
    </row>
    <row r="6">
      <c r="A6" t="inlineStr">
        <is>
          <t>4A</t>
        </is>
      </c>
      <c r="B6">
        <f>COUNTIFS('Muon tra'!$B:$B,A6,'Muon tra'!$A:$A,"&gt;="&amp;$B$1,'Muon tra'!$A:$A,"&lt;"&amp;EDATE($B$1,1))</f>
        <v/>
      </c>
      <c r="C6">
        <f>COUNTIFS('Muon tra'!$B:$B,A6,'Muon tra'!$A:$A,"&lt;&gt;",'Muon tra'!$E:$E,"")</f>
        <v/>
      </c>
    </row>
    <row r="7">
      <c r="A7" t="inlineStr">
        <is>
          <t>4B</t>
        </is>
      </c>
      <c r="B7">
        <f>COUNTIFS('Muon tra'!$B:$B,A7,'Muon tra'!$A:$A,"&gt;="&amp;$B$1,'Muon tra'!$A:$A,"&lt;"&amp;EDATE($B$1,1))</f>
        <v/>
      </c>
      <c r="C7">
        <f>COUNTIFS('Muon tra'!$B:$B,A7,'Muon tra'!$A:$A,"&lt;&gt;",'Muon tra'!$E:$E,"")</f>
        <v/>
      </c>
    </row>
    <row r="8">
      <c r="A8" t="inlineStr">
        <is>
          <t>5A</t>
        </is>
      </c>
      <c r="B8">
        <f>COUNTIFS('Muon tra'!$B:$B,A8,'Muon tra'!$A:$A,"&gt;="&amp;$B$1,'Muon tra'!$A:$A,"&lt;"&amp;EDATE($B$1,1))</f>
        <v/>
      </c>
      <c r="C8">
        <f>COUNTIFS('Muon tra'!$B:$B,A8,'Muon tra'!$A:$A,"&lt;&gt;",'Muon tra'!$E:$E,"")</f>
        <v/>
      </c>
    </row>
    <row r="9">
      <c r="A9" s="3" t="inlineStr">
        <is>
          <t>Cả trường</t>
        </is>
      </c>
      <c r="B9">
        <f>SUM(B4:B8)</f>
        <v/>
      </c>
      <c r="C9">
        <f>SUM(C4:C8)</f>
        <v/>
      </c>
    </row>
    <row r="12">
      <c r="A12" t="inlineStr">
        <is>
          <t>Dữ liệu ở trang «Muon tra» là dữ liệu mẫu, chỉ ghi mã học sinh, không có tên. Nguồn: Sổ tay AI mở cho thầy cô – Nếp Sách (CC BY-NC-SA 4.0).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30" customWidth="1" min="4" max="4"/>
    <col width="13" customWidth="1" min="5" max="5"/>
  </cols>
  <sheetData>
    <row r="1">
      <c r="A1" t="inlineStr">
        <is>
          <t>Ngày mượn</t>
        </is>
      </c>
      <c r="B1" t="inlineStr">
        <is>
          <t>Lớp</t>
        </is>
      </c>
      <c r="C1" t="inlineStr">
        <is>
          <t>Mã học sinh</t>
        </is>
      </c>
      <c r="D1" t="inlineStr">
        <is>
          <t>Tên sách</t>
        </is>
      </c>
      <c r="E1" t="inlineStr">
        <is>
          <t>Ngày trả</t>
        </is>
      </c>
    </row>
    <row r="2">
      <c r="A2" s="4" t="n">
        <v>46316</v>
      </c>
      <c r="B2" t="inlineStr">
        <is>
          <t>4B</t>
        </is>
      </c>
      <c r="C2" t="inlineStr">
        <is>
          <t>HS084</t>
        </is>
      </c>
      <c r="D2" t="inlineStr">
        <is>
          <t>Dế Mèn phiêu lưu ký</t>
        </is>
      </c>
      <c r="E2" s="4" t="n"/>
    </row>
    <row r="3">
      <c r="A3" s="4" t="n">
        <v>46300</v>
      </c>
      <c r="B3" t="inlineStr">
        <is>
          <t>3A</t>
        </is>
      </c>
      <c r="C3" t="inlineStr">
        <is>
          <t>HS047</t>
        </is>
      </c>
      <c r="D3" t="inlineStr">
        <is>
          <t>Đất rừng phương Nam</t>
        </is>
      </c>
      <c r="E3" s="4" t="n"/>
    </row>
    <row r="4">
      <c r="A4" s="4" t="n">
        <v>46299</v>
      </c>
      <c r="B4" t="inlineStr">
        <is>
          <t>3B</t>
        </is>
      </c>
      <c r="C4" t="inlineStr">
        <is>
          <t>HS005</t>
        </is>
      </c>
      <c r="D4" t="inlineStr">
        <is>
          <t>Dế Mèn phiêu lưu ký</t>
        </is>
      </c>
      <c r="E4" s="4" t="n"/>
    </row>
    <row r="5">
      <c r="A5" s="4" t="n">
        <v>46323</v>
      </c>
      <c r="B5" t="inlineStr">
        <is>
          <t>3A</t>
        </is>
      </c>
      <c r="C5" t="inlineStr">
        <is>
          <t>HS071</t>
        </is>
      </c>
      <c r="D5" t="inlineStr">
        <is>
          <t>Kính vạn hoa</t>
        </is>
      </c>
      <c r="E5" s="4" t="n">
        <v>46331</v>
      </c>
    </row>
    <row r="6">
      <c r="A6" s="4" t="n">
        <v>46299</v>
      </c>
      <c r="B6" t="inlineStr">
        <is>
          <t>3A</t>
        </is>
      </c>
      <c r="C6" t="inlineStr">
        <is>
          <t>HS029</t>
        </is>
      </c>
      <c r="D6" t="inlineStr">
        <is>
          <t>Cho tôi xin một vé đi tuổi thơ</t>
        </is>
      </c>
      <c r="E6" s="4" t="n"/>
    </row>
    <row r="7">
      <c r="A7" s="4" t="n">
        <v>46336</v>
      </c>
      <c r="B7" t="inlineStr">
        <is>
          <t>5A</t>
        </is>
      </c>
      <c r="C7" t="inlineStr">
        <is>
          <t>HS075</t>
        </is>
      </c>
      <c r="D7" t="inlineStr">
        <is>
          <t>Kính vạn hoa</t>
        </is>
      </c>
      <c r="E7" s="4" t="n">
        <v>46341</v>
      </c>
    </row>
    <row r="8">
      <c r="A8" s="4" t="n">
        <v>46299</v>
      </c>
      <c r="B8" t="inlineStr">
        <is>
          <t>3A</t>
        </is>
      </c>
      <c r="C8" t="inlineStr">
        <is>
          <t>HS072</t>
        </is>
      </c>
      <c r="D8" t="inlineStr">
        <is>
          <t>Quê nội</t>
        </is>
      </c>
      <c r="E8" s="4" t="n"/>
    </row>
    <row r="9">
      <c r="A9" s="4" t="n">
        <v>46314</v>
      </c>
      <c r="B9" t="inlineStr">
        <is>
          <t>3A</t>
        </is>
      </c>
      <c r="C9" t="inlineStr">
        <is>
          <t>HS074</t>
        </is>
      </c>
      <c r="D9" t="inlineStr">
        <is>
          <t>Góc sân và khoảng trời</t>
        </is>
      </c>
      <c r="E9" s="4" t="n">
        <v>46327</v>
      </c>
    </row>
    <row r="10">
      <c r="A10" s="4" t="n">
        <v>46331</v>
      </c>
      <c r="B10" t="inlineStr">
        <is>
          <t>3B</t>
        </is>
      </c>
      <c r="C10" t="inlineStr">
        <is>
          <t>HS014</t>
        </is>
      </c>
      <c r="D10" t="inlineStr">
        <is>
          <t>Đất rừng phương Nam</t>
        </is>
      </c>
      <c r="E10" s="4" t="n"/>
    </row>
    <row r="11">
      <c r="A11" s="4" t="n">
        <v>46332</v>
      </c>
      <c r="B11" t="inlineStr">
        <is>
          <t>3A</t>
        </is>
      </c>
      <c r="C11" t="inlineStr">
        <is>
          <t>HS071</t>
        </is>
      </c>
      <c r="D11" t="inlineStr">
        <is>
          <t>Cho tôi xin một vé đi tuổi thơ</t>
        </is>
      </c>
      <c r="E11" s="4" t="n">
        <v>46342</v>
      </c>
    </row>
    <row r="12">
      <c r="A12" s="4" t="n">
        <v>46300</v>
      </c>
      <c r="B12" t="inlineStr">
        <is>
          <t>3B</t>
        </is>
      </c>
      <c r="C12" t="inlineStr">
        <is>
          <t>HS064</t>
        </is>
      </c>
      <c r="D12" t="inlineStr">
        <is>
          <t>Cho tôi xin một vé đi tuổi thơ</t>
        </is>
      </c>
      <c r="E12" s="4" t="n">
        <v>46314</v>
      </c>
    </row>
    <row r="13">
      <c r="A13" s="4" t="n">
        <v>46330</v>
      </c>
      <c r="B13" t="inlineStr">
        <is>
          <t>4B</t>
        </is>
      </c>
      <c r="C13" t="inlineStr">
        <is>
          <t>HS075</t>
        </is>
      </c>
      <c r="D13" t="inlineStr">
        <is>
          <t>Kính vạn hoa</t>
        </is>
      </c>
      <c r="E13" s="4" t="n">
        <v>46340</v>
      </c>
    </row>
    <row r="14">
      <c r="A14" s="4" t="n">
        <v>46319</v>
      </c>
      <c r="B14" t="inlineStr">
        <is>
          <t>3B</t>
        </is>
      </c>
      <c r="C14" t="inlineStr">
        <is>
          <t>HS011</t>
        </is>
      </c>
      <c r="D14" t="inlineStr">
        <is>
          <t>Đất rừng phương Nam</t>
        </is>
      </c>
      <c r="E14" s="4" t="n">
        <v>46326</v>
      </c>
    </row>
    <row r="15">
      <c r="A15" s="4" t="n">
        <v>46315</v>
      </c>
      <c r="B15" t="inlineStr">
        <is>
          <t>4B</t>
        </is>
      </c>
      <c r="C15" t="inlineStr">
        <is>
          <t>HS037</t>
        </is>
      </c>
      <c r="D15" t="inlineStr">
        <is>
          <t>Đất rừng phương Nam</t>
        </is>
      </c>
      <c r="E15" s="4" t="n">
        <v>46325</v>
      </c>
    </row>
    <row r="16">
      <c r="A16" s="4" t="n">
        <v>46300</v>
      </c>
      <c r="B16" t="inlineStr">
        <is>
          <t>3B</t>
        </is>
      </c>
      <c r="C16" t="inlineStr">
        <is>
          <t>HS097</t>
        </is>
      </c>
      <c r="D16" t="inlineStr">
        <is>
          <t>Góc sân và khoảng trời</t>
        </is>
      </c>
      <c r="E16" s="4" t="n">
        <v>46311</v>
      </c>
    </row>
    <row r="17">
      <c r="A17" s="4" t="n">
        <v>46305</v>
      </c>
      <c r="B17" t="inlineStr">
        <is>
          <t>4B</t>
        </is>
      </c>
      <c r="C17" t="inlineStr">
        <is>
          <t>HS006</t>
        </is>
      </c>
      <c r="D17" t="inlineStr">
        <is>
          <t>Cho tôi xin một vé đi tuổi thơ</t>
        </is>
      </c>
      <c r="E17" s="4" t="n"/>
    </row>
    <row r="18">
      <c r="A18" s="4" t="n">
        <v>46300</v>
      </c>
      <c r="B18" t="inlineStr">
        <is>
          <t>4A</t>
        </is>
      </c>
      <c r="C18" t="inlineStr">
        <is>
          <t>HS044</t>
        </is>
      </c>
      <c r="D18" t="inlineStr">
        <is>
          <t>Cho tôi xin một vé đi tuổi thơ</t>
        </is>
      </c>
      <c r="E18" s="4" t="n">
        <v>46314</v>
      </c>
    </row>
    <row r="19">
      <c r="A19" s="4" t="n">
        <v>46318</v>
      </c>
      <c r="B19" t="inlineStr">
        <is>
          <t>4B</t>
        </is>
      </c>
      <c r="C19" t="inlineStr">
        <is>
          <t>HS009</t>
        </is>
      </c>
      <c r="D19" t="inlineStr">
        <is>
          <t>Dế Mèn phiêu lưu ký</t>
        </is>
      </c>
      <c r="E19" s="4" t="n">
        <v>46332</v>
      </c>
    </row>
    <row r="20">
      <c r="A20" s="4" t="n">
        <v>46313</v>
      </c>
      <c r="B20" t="inlineStr">
        <is>
          <t>3A</t>
        </is>
      </c>
      <c r="C20" t="inlineStr">
        <is>
          <t>HS094</t>
        </is>
      </c>
      <c r="D20" t="inlineStr">
        <is>
          <t>Cho tôi xin một vé đi tuổi thơ</t>
        </is>
      </c>
      <c r="E20" s="4" t="n">
        <v>46319</v>
      </c>
    </row>
    <row r="21">
      <c r="A21" s="4" t="n">
        <v>46315</v>
      </c>
      <c r="B21" t="inlineStr">
        <is>
          <t>4A</t>
        </is>
      </c>
      <c r="C21" t="inlineStr">
        <is>
          <t>HS092</t>
        </is>
      </c>
      <c r="D21" t="inlineStr">
        <is>
          <t>Kính vạn hoa</t>
        </is>
      </c>
      <c r="E21" s="4" t="n">
        <v>46327</v>
      </c>
    </row>
    <row r="22">
      <c r="A22" s="4" t="n">
        <v>46338</v>
      </c>
      <c r="B22" t="inlineStr">
        <is>
          <t>4A</t>
        </is>
      </c>
      <c r="C22" t="inlineStr">
        <is>
          <t>HS022</t>
        </is>
      </c>
      <c r="D22" t="inlineStr">
        <is>
          <t>Đất rừng phương Nam</t>
        </is>
      </c>
      <c r="E22" s="4" t="n">
        <v>46350</v>
      </c>
    </row>
    <row r="23">
      <c r="A23" s="4" t="n">
        <v>46303</v>
      </c>
      <c r="B23" t="inlineStr">
        <is>
          <t>4A</t>
        </is>
      </c>
      <c r="C23" t="inlineStr">
        <is>
          <t>HS017</t>
        </is>
      </c>
      <c r="D23" t="inlineStr">
        <is>
          <t>Cho tôi xin một vé đi tuổi thơ</t>
        </is>
      </c>
      <c r="E23" s="4" t="n">
        <v>46311</v>
      </c>
    </row>
    <row r="24">
      <c r="A24" s="4" t="n">
        <v>46311</v>
      </c>
      <c r="B24" t="inlineStr">
        <is>
          <t>3A</t>
        </is>
      </c>
      <c r="C24" t="inlineStr">
        <is>
          <t>HS022</t>
        </is>
      </c>
      <c r="D24" t="inlineStr">
        <is>
          <t>Kính vạn hoa</t>
        </is>
      </c>
      <c r="E24" s="4" t="n">
        <v>46323</v>
      </c>
    </row>
    <row r="25">
      <c r="A25" s="4" t="n">
        <v>46321</v>
      </c>
      <c r="B25" t="inlineStr">
        <is>
          <t>4B</t>
        </is>
      </c>
      <c r="C25" t="inlineStr">
        <is>
          <t>HS111</t>
        </is>
      </c>
      <c r="D25" t="inlineStr">
        <is>
          <t>Đất rừng phương Nam</t>
        </is>
      </c>
      <c r="E25" s="4" t="n">
        <v>46328</v>
      </c>
    </row>
    <row r="26">
      <c r="A26" s="4" t="n">
        <v>46313</v>
      </c>
      <c r="B26" t="inlineStr">
        <is>
          <t>4B</t>
        </is>
      </c>
      <c r="C26" t="inlineStr">
        <is>
          <t>HS030</t>
        </is>
      </c>
      <c r="D26" t="inlineStr">
        <is>
          <t>Quê nội</t>
        </is>
      </c>
      <c r="E26" s="4" t="n">
        <v>46323</v>
      </c>
    </row>
    <row r="27">
      <c r="A27" s="4" t="n">
        <v>46301</v>
      </c>
      <c r="B27" t="inlineStr">
        <is>
          <t>3B</t>
        </is>
      </c>
      <c r="C27" t="inlineStr">
        <is>
          <t>HS002</t>
        </is>
      </c>
      <c r="D27" t="inlineStr">
        <is>
          <t>Kính vạn hoa</t>
        </is>
      </c>
      <c r="E27" s="4" t="n">
        <v>46309</v>
      </c>
    </row>
    <row r="28">
      <c r="A28" s="4" t="n">
        <v>46349</v>
      </c>
      <c r="B28" t="inlineStr">
        <is>
          <t>4A</t>
        </is>
      </c>
      <c r="C28" t="inlineStr">
        <is>
          <t>HS001</t>
        </is>
      </c>
      <c r="D28" t="inlineStr">
        <is>
          <t>Quê nội</t>
        </is>
      </c>
      <c r="E28" s="4" t="n">
        <v>46358</v>
      </c>
    </row>
    <row r="29">
      <c r="A29" s="4" t="n">
        <v>46322</v>
      </c>
      <c r="B29" t="inlineStr">
        <is>
          <t>5A</t>
        </is>
      </c>
      <c r="C29" t="inlineStr">
        <is>
          <t>HS041</t>
        </is>
      </c>
      <c r="D29" t="inlineStr">
        <is>
          <t>Quê nội</t>
        </is>
      </c>
      <c r="E29" s="4" t="n">
        <v>46336</v>
      </c>
    </row>
    <row r="30">
      <c r="A30" s="4" t="n">
        <v>46340</v>
      </c>
      <c r="B30" t="inlineStr">
        <is>
          <t>5A</t>
        </is>
      </c>
      <c r="C30" t="inlineStr">
        <is>
          <t>HS084</t>
        </is>
      </c>
      <c r="D30" t="inlineStr">
        <is>
          <t>Cho tôi xin một vé đi tuổi thơ</t>
        </is>
      </c>
      <c r="E30" s="4" t="n"/>
    </row>
    <row r="31">
      <c r="A31" s="4" t="n">
        <v>46343</v>
      </c>
      <c r="B31" t="inlineStr">
        <is>
          <t>4B</t>
        </is>
      </c>
      <c r="C31" t="inlineStr">
        <is>
          <t>HS051</t>
        </is>
      </c>
      <c r="D31" t="inlineStr">
        <is>
          <t>Kính vạn hoa</t>
        </is>
      </c>
      <c r="E31" s="4" t="n">
        <v>46356</v>
      </c>
    </row>
    <row r="32">
      <c r="A32" s="4" t="n">
        <v>46321</v>
      </c>
      <c r="B32" t="inlineStr">
        <is>
          <t>3A</t>
        </is>
      </c>
      <c r="C32" t="inlineStr">
        <is>
          <t>HS025</t>
        </is>
      </c>
      <c r="D32" t="inlineStr">
        <is>
          <t>Dế Mèn phiêu lưu ký</t>
        </is>
      </c>
      <c r="E32" s="4" t="n">
        <v>46332</v>
      </c>
    </row>
    <row r="33">
      <c r="A33" s="4" t="n">
        <v>46309</v>
      </c>
      <c r="B33" t="inlineStr">
        <is>
          <t>4A</t>
        </is>
      </c>
      <c r="C33" t="inlineStr">
        <is>
          <t>HS077</t>
        </is>
      </c>
      <c r="D33" t="inlineStr">
        <is>
          <t>Dế Mèn phiêu lưu ký</t>
        </is>
      </c>
      <c r="E33" s="4" t="n">
        <v>46315</v>
      </c>
    </row>
    <row r="34">
      <c r="A34" s="4" t="n">
        <v>46302</v>
      </c>
      <c r="B34" t="inlineStr">
        <is>
          <t>5A</t>
        </is>
      </c>
      <c r="C34" t="inlineStr">
        <is>
          <t>HS013</t>
        </is>
      </c>
      <c r="D34" t="inlineStr">
        <is>
          <t>Góc sân và khoảng trời</t>
        </is>
      </c>
      <c r="E34" s="4" t="n">
        <v>46309</v>
      </c>
    </row>
    <row r="35">
      <c r="A35" s="4" t="n">
        <v>46335</v>
      </c>
      <c r="B35" t="inlineStr">
        <is>
          <t>5A</t>
        </is>
      </c>
      <c r="C35" t="inlineStr">
        <is>
          <t>HS049</t>
        </is>
      </c>
      <c r="D35" t="inlineStr">
        <is>
          <t>Quê nội</t>
        </is>
      </c>
      <c r="E35" s="4" t="n">
        <v>46343</v>
      </c>
    </row>
    <row r="36">
      <c r="A36" s="4" t="n">
        <v>46336</v>
      </c>
      <c r="B36" t="inlineStr">
        <is>
          <t>5A</t>
        </is>
      </c>
      <c r="C36" t="inlineStr">
        <is>
          <t>HS047</t>
        </is>
      </c>
      <c r="D36" t="inlineStr">
        <is>
          <t>Kính vạn hoa</t>
        </is>
      </c>
      <c r="E36" s="4" t="n">
        <v>46346</v>
      </c>
    </row>
    <row r="37">
      <c r="A37" s="4" t="n">
        <v>46303</v>
      </c>
      <c r="B37" t="inlineStr">
        <is>
          <t>4B</t>
        </is>
      </c>
      <c r="C37" t="inlineStr">
        <is>
          <t>HS062</t>
        </is>
      </c>
      <c r="D37" t="inlineStr">
        <is>
          <t>Kính vạn hoa</t>
        </is>
      </c>
      <c r="E37" s="4" t="n">
        <v>46315</v>
      </c>
    </row>
    <row r="38">
      <c r="A38" s="4" t="n">
        <v>46315</v>
      </c>
      <c r="B38" t="inlineStr">
        <is>
          <t>4A</t>
        </is>
      </c>
      <c r="C38" t="inlineStr">
        <is>
          <t>HS095</t>
        </is>
      </c>
      <c r="D38" t="inlineStr">
        <is>
          <t>Góc sân và khoảng trời</t>
        </is>
      </c>
      <c r="E38" s="4" t="n">
        <v>46321</v>
      </c>
    </row>
    <row r="39">
      <c r="A39" s="4" t="n">
        <v>46326</v>
      </c>
      <c r="B39" t="inlineStr">
        <is>
          <t>3B</t>
        </is>
      </c>
      <c r="C39" t="inlineStr">
        <is>
          <t>HS067</t>
        </is>
      </c>
      <c r="D39" t="inlineStr">
        <is>
          <t>Dế Mèn phiêu lưu ký</t>
        </is>
      </c>
      <c r="E39" s="4" t="n"/>
    </row>
    <row r="40">
      <c r="A40" s="4" t="n">
        <v>46309</v>
      </c>
      <c r="B40" t="inlineStr">
        <is>
          <t>5A</t>
        </is>
      </c>
      <c r="C40" t="inlineStr">
        <is>
          <t>HS047</t>
        </is>
      </c>
      <c r="D40" t="inlineStr">
        <is>
          <t>Quê nội</t>
        </is>
      </c>
      <c r="E40" s="4" t="n"/>
    </row>
    <row r="41">
      <c r="A41" s="4" t="n">
        <v>46340</v>
      </c>
      <c r="B41" t="inlineStr">
        <is>
          <t>5A</t>
        </is>
      </c>
      <c r="C41" t="inlineStr">
        <is>
          <t>HS039</t>
        </is>
      </c>
      <c r="D41" t="inlineStr">
        <is>
          <t>Cho tôi xin một vé đi tuổi thơ</t>
        </is>
      </c>
      <c r="E41" s="4" t="n">
        <v>46345</v>
      </c>
    </row>
    <row r="42">
      <c r="A42" s="4" t="n">
        <v>46351</v>
      </c>
      <c r="B42" t="inlineStr">
        <is>
          <t>5A</t>
        </is>
      </c>
      <c r="C42" t="inlineStr">
        <is>
          <t>HS047</t>
        </is>
      </c>
      <c r="D42" t="inlineStr">
        <is>
          <t>Quê nội</t>
        </is>
      </c>
      <c r="E42" s="4" t="n">
        <v>46360</v>
      </c>
    </row>
    <row r="43">
      <c r="A43" s="4" t="n">
        <v>46318</v>
      </c>
      <c r="B43" t="inlineStr">
        <is>
          <t>5A</t>
        </is>
      </c>
      <c r="C43" t="inlineStr">
        <is>
          <t>HS100</t>
        </is>
      </c>
      <c r="D43" t="inlineStr">
        <is>
          <t>Đất rừng phương Nam</t>
        </is>
      </c>
      <c r="E43" s="4" t="n">
        <v>46331</v>
      </c>
    </row>
    <row r="44">
      <c r="A44" s="4" t="n">
        <v>46317</v>
      </c>
      <c r="B44" t="inlineStr">
        <is>
          <t>3B</t>
        </is>
      </c>
      <c r="C44" t="inlineStr">
        <is>
          <t>HS104</t>
        </is>
      </c>
      <c r="D44" t="inlineStr">
        <is>
          <t>Quê nội</t>
        </is>
      </c>
      <c r="E44" s="4" t="n">
        <v>46331</v>
      </c>
    </row>
    <row r="45">
      <c r="A45" s="4" t="n">
        <v>46348</v>
      </c>
      <c r="B45" t="inlineStr">
        <is>
          <t>3B</t>
        </is>
      </c>
      <c r="C45" t="inlineStr">
        <is>
          <t>HS067</t>
        </is>
      </c>
      <c r="D45" t="inlineStr">
        <is>
          <t>Kính vạn hoa</t>
        </is>
      </c>
      <c r="E45" s="4" t="n">
        <v>46356</v>
      </c>
    </row>
    <row r="46">
      <c r="A46" s="4" t="n">
        <v>46318</v>
      </c>
      <c r="B46" t="inlineStr">
        <is>
          <t>4A</t>
        </is>
      </c>
      <c r="C46" t="inlineStr">
        <is>
          <t>HS061</t>
        </is>
      </c>
      <c r="D46" t="inlineStr">
        <is>
          <t>Góc sân và khoảng trời</t>
        </is>
      </c>
      <c r="E46" s="4" t="n">
        <v>46323</v>
      </c>
    </row>
    <row r="47">
      <c r="A47" s="4" t="n">
        <v>46308</v>
      </c>
      <c r="B47" t="inlineStr">
        <is>
          <t>4B</t>
        </is>
      </c>
      <c r="C47" t="inlineStr">
        <is>
          <t>HS104</t>
        </is>
      </c>
      <c r="D47" t="inlineStr">
        <is>
          <t>Cho tôi xin một vé đi tuổi thơ</t>
        </is>
      </c>
      <c r="E47" s="4" t="n">
        <v>46318</v>
      </c>
    </row>
    <row r="48">
      <c r="A48" s="4" t="n">
        <v>46318</v>
      </c>
      <c r="B48" t="inlineStr">
        <is>
          <t>4A</t>
        </is>
      </c>
      <c r="C48" t="inlineStr">
        <is>
          <t>HS011</t>
        </is>
      </c>
      <c r="D48" t="inlineStr">
        <is>
          <t>Quê nội</t>
        </is>
      </c>
      <c r="E48" s="4" t="n"/>
    </row>
    <row r="49">
      <c r="A49" s="4" t="n">
        <v>46302</v>
      </c>
      <c r="B49" t="inlineStr">
        <is>
          <t>4A</t>
        </is>
      </c>
      <c r="C49" t="inlineStr">
        <is>
          <t>HS027</t>
        </is>
      </c>
      <c r="D49" t="inlineStr">
        <is>
          <t>Kính vạn hoa</t>
        </is>
      </c>
      <c r="E49" s="4" t="n">
        <v>46310</v>
      </c>
    </row>
    <row r="50">
      <c r="A50" s="4" t="n">
        <v>46335</v>
      </c>
      <c r="B50" t="inlineStr">
        <is>
          <t>5A</t>
        </is>
      </c>
      <c r="C50" t="inlineStr">
        <is>
          <t>HS108</t>
        </is>
      </c>
      <c r="D50" t="inlineStr">
        <is>
          <t>Dế Mèn phiêu lưu ký</t>
        </is>
      </c>
      <c r="E50" s="4" t="n"/>
    </row>
    <row r="51">
      <c r="A51" s="4" t="n">
        <v>46326</v>
      </c>
      <c r="B51" t="inlineStr">
        <is>
          <t>4A</t>
        </is>
      </c>
      <c r="C51" t="inlineStr">
        <is>
          <t>HS103</t>
        </is>
      </c>
      <c r="D51" t="inlineStr">
        <is>
          <t>Cho tôi xin một vé đi tuổi thơ</t>
        </is>
      </c>
      <c r="E51" s="4" t="n"/>
    </row>
    <row r="52">
      <c r="A52" s="4" t="n">
        <v>46301</v>
      </c>
      <c r="B52" t="inlineStr">
        <is>
          <t>3A</t>
        </is>
      </c>
      <c r="C52" t="inlineStr">
        <is>
          <t>HS117</t>
        </is>
      </c>
      <c r="D52" t="inlineStr">
        <is>
          <t>Kính vạn hoa</t>
        </is>
      </c>
      <c r="E52" s="4" t="n"/>
    </row>
    <row r="53">
      <c r="A53" s="4" t="n">
        <v>46346</v>
      </c>
      <c r="B53" t="inlineStr">
        <is>
          <t>4B</t>
        </is>
      </c>
      <c r="C53" t="inlineStr">
        <is>
          <t>HS114</t>
        </is>
      </c>
      <c r="D53" t="inlineStr">
        <is>
          <t>Quê nội</t>
        </is>
      </c>
      <c r="E53" s="4" t="n">
        <v>46354</v>
      </c>
    </row>
    <row r="54">
      <c r="A54" s="4" t="n">
        <v>46323</v>
      </c>
      <c r="B54" t="inlineStr">
        <is>
          <t>3A</t>
        </is>
      </c>
      <c r="C54" t="inlineStr">
        <is>
          <t>HS103</t>
        </is>
      </c>
      <c r="D54" t="inlineStr">
        <is>
          <t>Cho tôi xin một vé đi tuổi thơ</t>
        </is>
      </c>
      <c r="E54" s="4" t="n">
        <v>46333</v>
      </c>
    </row>
    <row r="55">
      <c r="A55" s="4" t="n">
        <v>46321</v>
      </c>
      <c r="B55" t="inlineStr">
        <is>
          <t>3B</t>
        </is>
      </c>
      <c r="C55" t="inlineStr">
        <is>
          <t>HS022</t>
        </is>
      </c>
      <c r="D55" t="inlineStr">
        <is>
          <t>Quê nội</t>
        </is>
      </c>
      <c r="E55" s="4" t="n">
        <v>46327</v>
      </c>
    </row>
    <row r="56">
      <c r="A56" s="4" t="n">
        <v>46297</v>
      </c>
      <c r="B56" t="inlineStr">
        <is>
          <t>3B</t>
        </is>
      </c>
      <c r="C56" t="inlineStr">
        <is>
          <t>HS079</t>
        </is>
      </c>
      <c r="D56" t="inlineStr">
        <is>
          <t>Đất rừng phương Nam</t>
        </is>
      </c>
      <c r="E56" s="4" t="n">
        <v>46309</v>
      </c>
    </row>
    <row r="57">
      <c r="A57" s="4" t="n">
        <v>46326</v>
      </c>
      <c r="B57" t="inlineStr">
        <is>
          <t>3B</t>
        </is>
      </c>
      <c r="C57" t="inlineStr">
        <is>
          <t>HS071</t>
        </is>
      </c>
      <c r="D57" t="inlineStr">
        <is>
          <t>Đất rừng phương Nam</t>
        </is>
      </c>
      <c r="E57" s="4" t="n">
        <v>46336</v>
      </c>
    </row>
    <row r="58">
      <c r="A58" s="4" t="n">
        <v>46304</v>
      </c>
      <c r="B58" t="inlineStr">
        <is>
          <t>5A</t>
        </is>
      </c>
      <c r="C58" t="inlineStr">
        <is>
          <t>HS096</t>
        </is>
      </c>
      <c r="D58" t="inlineStr">
        <is>
          <t>Quê nội</t>
        </is>
      </c>
      <c r="E58" s="4" t="n">
        <v>46310</v>
      </c>
    </row>
    <row r="59">
      <c r="A59" s="4" t="n">
        <v>46323</v>
      </c>
      <c r="B59" t="inlineStr">
        <is>
          <t>3B</t>
        </is>
      </c>
      <c r="C59" t="inlineStr">
        <is>
          <t>HS106</t>
        </is>
      </c>
      <c r="D59" t="inlineStr">
        <is>
          <t>Quê nội</t>
        </is>
      </c>
      <c r="E59" s="4" t="n"/>
    </row>
    <row r="60">
      <c r="A60" s="4" t="n">
        <v>46297</v>
      </c>
      <c r="B60" t="inlineStr">
        <is>
          <t>5A</t>
        </is>
      </c>
      <c r="C60" t="inlineStr">
        <is>
          <t>HS031</t>
        </is>
      </c>
      <c r="D60" t="inlineStr">
        <is>
          <t>Đất rừng phương Nam</t>
        </is>
      </c>
      <c r="E60" s="4" t="n">
        <v>46306</v>
      </c>
    </row>
    <row r="61">
      <c r="A61" s="4" t="n">
        <v>46316</v>
      </c>
      <c r="B61" t="inlineStr">
        <is>
          <t>3B</t>
        </is>
      </c>
      <c r="C61" t="inlineStr">
        <is>
          <t>HS008</t>
        </is>
      </c>
      <c r="D61" t="inlineStr">
        <is>
          <t>Cho tôi xin một vé đi tuổi thơ</t>
        </is>
      </c>
      <c r="E61" s="4" t="n">
        <v>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2026-10-04T10:13:27Z</dcterms:created>
  <dcterms:modified xmlns:dcterms="http://purl.org/dc/terms/" xmlns:xsi="http://www.w3.org/2001/XMLSchema-instance" xsi:type="dcterms:W3CDTF">2026-10-04T10:13:27Z</dcterms:modified>
</cp:coreProperties>
</file>